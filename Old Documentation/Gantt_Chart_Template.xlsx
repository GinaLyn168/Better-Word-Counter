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filterPrivacy="1" codeName="ThisWorkbook"/>
  <xr:revisionPtr revIDLastSave="0" documentId="13_ncr:1_{2256C470-852E-4446-87CC-4FBBC1C659B9}" xr6:coauthVersionLast="47" xr6:coauthVersionMax="47" xr10:uidLastSave="{00000000-0000-0000-0000-000000000000}"/>
  <bookViews>
    <workbookView xWindow="0" yWindow="660" windowWidth="29400" windowHeight="1658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1" i="11" l="1"/>
  <c r="F31" i="11"/>
  <c r="F30" i="11"/>
  <c r="E30" i="11"/>
  <c r="F29" i="11"/>
  <c r="E29" i="11"/>
  <c r="F28" i="11"/>
  <c r="F27" i="11"/>
  <c r="E28" i="11"/>
  <c r="E27" i="11"/>
  <c r="E25" i="11"/>
  <c r="F25" i="11" s="1"/>
  <c r="F24" i="11"/>
  <c r="E24" i="11"/>
  <c r="F23" i="11"/>
  <c r="E23" i="11"/>
  <c r="F22" i="11"/>
  <c r="E22" i="11"/>
  <c r="F21" i="11"/>
  <c r="E21" i="11"/>
  <c r="F19" i="11"/>
  <c r="E19" i="11"/>
  <c r="F18" i="11"/>
  <c r="F17" i="11"/>
  <c r="F16" i="11"/>
  <c r="E16" i="11"/>
  <c r="F15" i="11"/>
  <c r="E15" i="11"/>
  <c r="E13" i="11"/>
  <c r="F13" i="11" s="1"/>
  <c r="F12" i="11"/>
  <c r="F11" i="11"/>
  <c r="F10" i="11"/>
  <c r="H7" i="11"/>
  <c r="E9" i="11" l="1"/>
  <c r="I5" i="11"/>
  <c r="H33" i="11"/>
  <c r="H32" i="11"/>
  <c r="H31" i="11"/>
  <c r="H30" i="11"/>
  <c r="H29" i="11"/>
  <c r="H28" i="11"/>
  <c r="H26" i="11"/>
  <c r="H20" i="11"/>
  <c r="H14" i="11"/>
  <c r="H8" i="11"/>
  <c r="F9" i="11" l="1"/>
  <c r="E10" i="11" s="1"/>
  <c r="I6" i="11"/>
  <c r="E11" i="11" l="1"/>
  <c r="H9" i="11"/>
  <c r="H21" i="11"/>
  <c r="H22" i="11"/>
  <c r="H27" i="11"/>
  <c r="H10" i="11"/>
  <c r="H15" i="11"/>
  <c r="H13" i="11"/>
  <c r="E12" i="11"/>
  <c r="J5" i="11"/>
  <c r="K5" i="11" s="1"/>
  <c r="L5" i="11" s="1"/>
  <c r="M5" i="11" s="1"/>
  <c r="N5" i="11" s="1"/>
  <c r="O5" i="11" s="1"/>
  <c r="P5" i="11" s="1"/>
  <c r="I4" i="11"/>
  <c r="H25" i="11" l="1"/>
  <c r="H16" i="11"/>
  <c r="E17" i="11"/>
  <c r="E18" i="11" s="1"/>
  <c r="H11" i="11"/>
  <c r="H12" i="11"/>
  <c r="P4" i="11"/>
  <c r="Q5" i="11"/>
  <c r="R5" i="11" s="1"/>
  <c r="S5" i="11" s="1"/>
  <c r="T5" i="11" s="1"/>
  <c r="U5" i="11" s="1"/>
  <c r="V5" i="11" s="1"/>
  <c r="W5" i="11" s="1"/>
  <c r="J6" i="11"/>
  <c r="H23" i="11" l="1"/>
  <c r="H24" i="11"/>
  <c r="H19" i="1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<sst xmlns="http://schemas.openxmlformats.org/spreadsheetml/2006/main" count="68" uniqueCount="65">
  <si>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</si>
  <si>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</si>
  <si>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</si>
  <si>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</si>
  <si>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</si>
  <si>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</si>
  <si>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</si>
  <si>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</si>
  <si>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</si>
  <si>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</si>
  <si>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</si>
  <si>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</si>
  <si>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</si>
  <si>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</si>
  <si>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</si>
  <si>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</si>
  <si>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</si>
  <si>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</si>
  <si>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</si>
  <si>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</si>
  <si>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</si>
  <si>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</si>
  <si>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</si>
  <si>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</si>
  <si>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</si>
  <si>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</si>
  <si>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</si>
  <si>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</si>
  <si>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</si>
  <si>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</si>
  <si>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</si>
  <si>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</si>
  <si>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</si>
  <si>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</si>
  <si>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</si>
  <si>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</si>
  <si>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</si>
  <si>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</si>
  <si>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BetterWordCounter</t>
  </si>
  <si>
    <t>G &amp; R</t>
  </si>
  <si>
    <t>Grace and Ranbir</t>
  </si>
  <si>
    <t>Phase 1: Setup &amp; Scaffold</t>
  </si>
  <si>
    <t>Phase 2: Core word counter</t>
  </si>
  <si>
    <t>Phase 3: Highlight &amp; Exclude Feature</t>
  </si>
  <si>
    <t>Phase 4: Polish, testing, and wrapup</t>
  </si>
  <si>
    <t>Create GitHub repo and agree on folder/file structure</t>
  </si>
  <si>
    <t>Set up Google Apps Script project and link it to a test Google Doc</t>
  </si>
  <si>
    <t>Build a basic sidebar that opens from the Docs menu</t>
  </si>
  <si>
    <t>Add placeholder HTML/CSS layout for the sidebar UI</t>
  </si>
  <si>
    <t>Confirm both partners can push/pull and the add-on runs locally</t>
  </si>
  <si>
    <t>Write server-side function to read full document text</t>
  </si>
  <si>
    <t>Implement basic word counting logic (splitting, handling punctuation)</t>
  </si>
  <si>
    <t>Display live word count in the sidebar via polling</t>
  </si>
  <si>
    <t>Test counting accuracy against Google Docs' built-in counter</t>
  </si>
  <si>
    <t>Handle edge cases (empty doc, single word, extra whitespace)</t>
  </si>
  <si>
    <t>Write function to detect and retrieve the user's current text selection</t>
  </si>
  <si>
    <t>Add "exclude this phrase" button that registers the selection</t>
  </si>
  <si>
    <t>Display list of saved exclusions in the sidebar with a remove option</t>
  </si>
  <si>
    <t>Subtract excluded phrases from the live word count correctly</t>
  </si>
  <si>
    <t>Implement persistence using PropertiesService so exclusions save between sessions</t>
  </si>
  <si>
    <t>Refine sidebar UI (spacing, colors, fonts, overall feel)</t>
  </si>
  <si>
    <t>Handle edge cases for exclusions (duplicates, partial overlaps, empty selection)</t>
  </si>
  <si>
    <t>Test the full extension on real documents with varied content</t>
  </si>
  <si>
    <t>Fix bugs found during testing</t>
  </si>
  <si>
    <t>Final GitHub cleanup — clear commit history, README, organized file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</si>
</sst>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164"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9" fillId="0" borderId="0" xfId="8">
      <alignment horizontal="right" indent="1"/>
    </xf>
    <xf numFmtId="0" fontId="9" fillId="0" borderId="7" xfId="8" applyBorder="1">
      <alignment horizontal="right" indent="1"/>
    </xf>
    <xf numFmtId="0" fontId="0" fillId="0" borderId="10" xfId="0" applyBorder="1"/>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16" activePane="bottomLeft" state="frozen"/>
      <selection pane="bottomLeft" activeCell="Q28" sqref="Q28"/>
    </sheetView>
  </sheetViews>
  <sheetFormatPr baseColWidth="10" defaultColWidth="8.83203125" defaultRowHeight="30" customHeight="1" x14ac:dyDescent="0.2"/>
  <cols>
    <col min="1" max="1" width="2.6640625" style="58" customWidth="1"/>
    <col min="2" max="2" width="19.83203125" customWidth="1"/>
    <col min="3" max="3" width="30.6640625" customWidth="1"/>
    <col min="4" max="4" width="10.6640625" customWidth="1"/>
    <col min="5" max="5" width="10.5" style="5" customWidth="1"/>
    <col min="6" max="6" width="10.5" customWidth="1"/>
    <col min="7" max="7" width="2.6640625" customWidth="1"/>
    <col min="8" max="8" width="6.1640625" hidden="1" customWidth="1"/>
    <col min="9" max="64" width="2.5" customWidth="1"/>
    <col min="69" max="70" width="10.33203125"/>
  </cols>
  <sheetData>
    <row r="1" spans="1:64" ht="30" customHeight="1" x14ac:dyDescent="0.35">
      <c r="A1" s="59" t="s">
        <v>29</v>
      </c>
      <c r="B1" s="63" t="s">
        <v>38</v>
      </c>
      <c r="C1" s="1"/>
      <c r="D1" s="2"/>
      <c r="E1" s="4"/>
      <c r="F1" s="47"/>
      <c r="H1" s="2"/>
      <c r="I1" s="14" t="s">
        <v>12</v>
      </c>
    </row>
    <row r="2" spans="1:64" ht="30" customHeight="1" x14ac:dyDescent="0.25">
      <c r="A2" s="58" t="s">
        <v>24</v>
      </c>
      <c r="B2" s="64" t="s">
        <v>39</v>
      </c>
      <c r="I2" s="61" t="s">
        <v>17</v>
      </c>
    </row>
    <row r="3" spans="1:64" ht="30" customHeight="1" x14ac:dyDescent="0.2">
      <c r="A3" s="58" t="s">
        <v>30</v>
      </c>
      <c r="B3" s="65" t="s">
        <v>40</v>
      </c>
      <c r="C3" s="85" t="s">
        <v>1</v>
      </c>
      <c r="D3" s="86"/>
      <c r="E3" s="91">
        <v>46163</v>
      </c>
      <c r="F3" s="91"/>
    </row>
    <row r="4" spans="1:64" ht="30" customHeight="1" x14ac:dyDescent="0.2">
      <c r="A4" s="59" t="s">
        <v>31</v>
      </c>
      <c r="C4" s="85" t="s">
        <v>8</v>
      </c>
      <c r="D4" s="86"/>
      <c r="E4" s="7">
        <v>1</v>
      </c>
      <c r="I4" s="88">
        <f>I5</f>
        <v>46160</v>
      </c>
      <c r="J4" s="89"/>
      <c r="K4" s="89"/>
      <c r="L4" s="89"/>
      <c r="M4" s="89"/>
      <c r="N4" s="89"/>
      <c r="O4" s="90"/>
      <c r="P4" s="88">
        <f>P5</f>
        <v>46167</v>
      </c>
      <c r="Q4" s="89"/>
      <c r="R4" s="89"/>
      <c r="S4" s="89"/>
      <c r="T4" s="89"/>
      <c r="U4" s="89"/>
      <c r="V4" s="90"/>
      <c r="W4" s="88">
        <f>W5</f>
        <v>46174</v>
      </c>
      <c r="X4" s="89"/>
      <c r="Y4" s="89"/>
      <c r="Z4" s="89"/>
      <c r="AA4" s="89"/>
      <c r="AB4" s="89"/>
      <c r="AC4" s="90"/>
      <c r="AD4" s="88">
        <f>AD5</f>
        <v>46181</v>
      </c>
      <c r="AE4" s="89"/>
      <c r="AF4" s="89"/>
      <c r="AG4" s="89"/>
      <c r="AH4" s="89"/>
      <c r="AI4" s="89"/>
      <c r="AJ4" s="90"/>
      <c r="AK4" s="88">
        <f>AK5</f>
        <v>46188</v>
      </c>
      <c r="AL4" s="89"/>
      <c r="AM4" s="89"/>
      <c r="AN4" s="89"/>
      <c r="AO4" s="89"/>
      <c r="AP4" s="89"/>
      <c r="AQ4" s="90"/>
      <c r="AR4" s="88">
        <f>AR5</f>
        <v>46195</v>
      </c>
      <c r="AS4" s="89"/>
      <c r="AT4" s="89"/>
      <c r="AU4" s="89"/>
      <c r="AV4" s="89"/>
      <c r="AW4" s="89"/>
      <c r="AX4" s="90"/>
      <c r="AY4" s="88">
        <f>AY5</f>
        <v>46202</v>
      </c>
      <c r="AZ4" s="89"/>
      <c r="BA4" s="89"/>
      <c r="BB4" s="89"/>
      <c r="BC4" s="89"/>
      <c r="BD4" s="89"/>
      <c r="BE4" s="90"/>
      <c r="BF4" s="88">
        <f>BF5</f>
        <v>46209</v>
      </c>
      <c r="BG4" s="89"/>
      <c r="BH4" s="89"/>
      <c r="BI4" s="89"/>
      <c r="BJ4" s="89"/>
      <c r="BK4" s="89"/>
      <c r="BL4" s="90"/>
    </row>
    <row r="5" spans="1:64" ht="15" customHeight="1" x14ac:dyDescent="0.2">
      <c r="A5" s="59" t="s">
        <v>32</v>
      </c>
      <c r="B5" s="87"/>
      <c r="C5" s="87"/>
      <c r="D5" s="87"/>
      <c r="E5" s="87"/>
      <c r="F5" s="87"/>
      <c r="G5" s="87"/>
      <c r="I5" s="11">
        <f>Project_Start-WEEKDAY(Project_Start,1)+2+7*(Display_Week-1)</f>
        <v>46160</v>
      </c>
      <c r="J5" s="10">
        <f>I5+1</f>
        <v>46161</v>
      </c>
      <c r="K5" s="10">
        <f t="shared" ref="K5:AX5" si="0">J5+1</f>
        <v>46162</v>
      </c>
      <c r="L5" s="10">
        <f t="shared" si="0"/>
        <v>46163</v>
      </c>
      <c r="M5" s="10">
        <f t="shared" si="0"/>
        <v>46164</v>
      </c>
      <c r="N5" s="10">
        <f t="shared" si="0"/>
        <v>46165</v>
      </c>
      <c r="O5" s="12">
        <f t="shared" si="0"/>
        <v>46166</v>
      </c>
      <c r="P5" s="11">
        <f>O5+1</f>
        <v>46167</v>
      </c>
      <c r="Q5" s="10">
        <f>P5+1</f>
        <v>46168</v>
      </c>
      <c r="R5" s="10">
        <f t="shared" si="0"/>
        <v>46169</v>
      </c>
      <c r="S5" s="10">
        <f t="shared" si="0"/>
        <v>46170</v>
      </c>
      <c r="T5" s="10">
        <f t="shared" si="0"/>
        <v>46171</v>
      </c>
      <c r="U5" s="10">
        <f t="shared" si="0"/>
        <v>46172</v>
      </c>
      <c r="V5" s="12">
        <f t="shared" si="0"/>
        <v>46173</v>
      </c>
      <c r="W5" s="11">
        <f>V5+1</f>
        <v>46174</v>
      </c>
      <c r="X5" s="10">
        <f>W5+1</f>
        <v>46175</v>
      </c>
      <c r="Y5" s="10">
        <f t="shared" si="0"/>
        <v>46176</v>
      </c>
      <c r="Z5" s="10">
        <f t="shared" si="0"/>
        <v>46177</v>
      </c>
      <c r="AA5" s="10">
        <f t="shared" si="0"/>
        <v>46178</v>
      </c>
      <c r="AB5" s="10">
        <f t="shared" si="0"/>
        <v>46179</v>
      </c>
      <c r="AC5" s="12">
        <f t="shared" si="0"/>
        <v>46180</v>
      </c>
      <c r="AD5" s="11">
        <f>AC5+1</f>
        <v>46181</v>
      </c>
      <c r="AE5" s="10">
        <f>AD5+1</f>
        <v>46182</v>
      </c>
      <c r="AF5" s="10">
        <f t="shared" si="0"/>
        <v>46183</v>
      </c>
      <c r="AG5" s="10">
        <f t="shared" si="0"/>
        <v>46184</v>
      </c>
      <c r="AH5" s="10">
        <f t="shared" si="0"/>
        <v>46185</v>
      </c>
      <c r="AI5" s="10">
        <f t="shared" si="0"/>
        <v>46186</v>
      </c>
      <c r="AJ5" s="12">
        <f t="shared" si="0"/>
        <v>46187</v>
      </c>
      <c r="AK5" s="11">
        <f>AJ5+1</f>
        <v>46188</v>
      </c>
      <c r="AL5" s="10">
        <f>AK5+1</f>
        <v>46189</v>
      </c>
      <c r="AM5" s="10">
        <f t="shared" si="0"/>
        <v>46190</v>
      </c>
      <c r="AN5" s="10">
        <f t="shared" si="0"/>
        <v>46191</v>
      </c>
      <c r="AO5" s="10">
        <f t="shared" si="0"/>
        <v>46192</v>
      </c>
      <c r="AP5" s="10">
        <f t="shared" si="0"/>
        <v>46193</v>
      </c>
      <c r="AQ5" s="12">
        <f t="shared" si="0"/>
        <v>46194</v>
      </c>
      <c r="AR5" s="11">
        <f>AQ5+1</f>
        <v>46195</v>
      </c>
      <c r="AS5" s="10">
        <f>AR5+1</f>
        <v>46196</v>
      </c>
      <c r="AT5" s="10">
        <f t="shared" si="0"/>
        <v>46197</v>
      </c>
      <c r="AU5" s="10">
        <f t="shared" si="0"/>
        <v>46198</v>
      </c>
      <c r="AV5" s="10">
        <f t="shared" si="0"/>
        <v>46199</v>
      </c>
      <c r="AW5" s="10">
        <f t="shared" si="0"/>
        <v>46200</v>
      </c>
      <c r="AX5" s="12">
        <f t="shared" si="0"/>
        <v>46201</v>
      </c>
      <c r="AY5" s="11">
        <f>AX5+1</f>
        <v>46202</v>
      </c>
      <c r="AZ5" s="10">
        <f>AY5+1</f>
        <v>46203</v>
      </c>
      <c r="BA5" s="10">
        <f t="shared" ref="BA5:BE5" si="1">AZ5+1</f>
        <v>46204</v>
      </c>
      <c r="BB5" s="10">
        <f t="shared" si="1"/>
        <v>46205</v>
      </c>
      <c r="BC5" s="10">
        <f t="shared" si="1"/>
        <v>46206</v>
      </c>
      <c r="BD5" s="10">
        <f t="shared" si="1"/>
        <v>46207</v>
      </c>
      <c r="BE5" s="12">
        <f t="shared" si="1"/>
        <v>46208</v>
      </c>
      <c r="BF5" s="11">
        <f>BE5+1</f>
        <v>46209</v>
      </c>
      <c r="BG5" s="10">
        <f>BF5+1</f>
        <v>46210</v>
      </c>
      <c r="BH5" s="10">
        <f t="shared" ref="BH5:BL5" si="2">BG5+1</f>
        <v>46211</v>
      </c>
      <c r="BI5" s="10">
        <f t="shared" si="2"/>
        <v>46212</v>
      </c>
      <c r="BJ5" s="10">
        <f t="shared" si="2"/>
        <v>46213</v>
      </c>
      <c r="BK5" s="10">
        <f t="shared" si="2"/>
        <v>46214</v>
      </c>
      <c r="BL5" s="12">
        <f t="shared" si="2"/>
        <v>46215</v>
      </c>
    </row>
    <row r="6" spans="1:64" ht="30" customHeight="1" thickBot="1" x14ac:dyDescent="0.25">
      <c r="A6" s="59" t="s">
        <v>33</v>
      </c>
      <c r="B6" s="8" t="s">
        <v>9</v>
      </c>
      <c r="C6" s="9" t="s">
        <v>3</v>
      </c>
      <c r="D6" s="9" t="s">
        <v>2</v>
      </c>
      <c r="E6" s="9" t="s">
        <v>5</v>
      </c>
      <c r="F6" s="9" t="s">
        <v>6</v>
      </c>
      <c r="G6" s="9"/>
      <c r="H6" s="9" t="s">
        <v>7</v>
      </c>
      <c r="I6" s="13" t="str">
        <f t="shared" ref="I6" si="3">LEFT(TEXT(I5,"ddd"),1)</f>
        <v>M</v>
      </c>
      <c r="J6" s="13" t="str">
        <f t="shared" ref="J6:AR6" si="4">LEFT(TEXT(J5,"ddd"),1)</f>
        <v>T</v>
      </c>
      <c r="K6" s="13" t="str">
        <f t="shared" si="4"/>
        <v>W</v>
      </c>
      <c r="L6" s="13" t="str">
        <f t="shared" si="4"/>
        <v>T</v>
      </c>
      <c r="M6" s="13" t="str">
        <f t="shared" si="4"/>
        <v>F</v>
      </c>
      <c r="N6" s="13" t="str">
        <f t="shared" si="4"/>
        <v>S</v>
      </c>
      <c r="O6" s="13" t="str">
        <f t="shared" si="4"/>
        <v>S</v>
      </c>
      <c r="P6" s="13" t="str">
        <f t="shared" si="4"/>
        <v>M</v>
      </c>
      <c r="Q6" s="13" t="str">
        <f t="shared" si="4"/>
        <v>T</v>
      </c>
      <c r="R6" s="13" t="str">
        <f t="shared" si="4"/>
        <v>W</v>
      </c>
      <c r="S6" s="13" t="str">
        <f t="shared" si="4"/>
        <v>T</v>
      </c>
      <c r="T6" s="13" t="str">
        <f t="shared" si="4"/>
        <v>F</v>
      </c>
      <c r="U6" s="13" t="str">
        <f t="shared" si="4"/>
        <v>S</v>
      </c>
      <c r="V6" s="13" t="str">
        <f t="shared" si="4"/>
        <v>S</v>
      </c>
      <c r="W6" s="13" t="str">
        <f t="shared" si="4"/>
        <v>M</v>
      </c>
      <c r="X6" s="13" t="str">
        <f t="shared" si="4"/>
        <v>T</v>
      </c>
      <c r="Y6" s="13" t="str">
        <f t="shared" si="4"/>
        <v>W</v>
      </c>
      <c r="Z6" s="13" t="str">
        <f t="shared" si="4"/>
        <v>T</v>
      </c>
      <c r="AA6" s="13" t="str">
        <f t="shared" si="4"/>
        <v>F</v>
      </c>
      <c r="AB6" s="13" t="str">
        <f t="shared" si="4"/>
        <v>S</v>
      </c>
      <c r="AC6" s="13" t="str">
        <f t="shared" si="4"/>
        <v>S</v>
      </c>
      <c r="AD6" s="13" t="str">
        <f t="shared" si="4"/>
        <v>M</v>
      </c>
      <c r="AE6" s="13" t="str">
        <f t="shared" si="4"/>
        <v>T</v>
      </c>
      <c r="AF6" s="13" t="str">
        <f t="shared" si="4"/>
        <v>W</v>
      </c>
      <c r="AG6" s="13" t="str">
        <f t="shared" si="4"/>
        <v>T</v>
      </c>
      <c r="AH6" s="13" t="str">
        <f t="shared" si="4"/>
        <v>F</v>
      </c>
      <c r="AI6" s="13" t="str">
        <f t="shared" si="4"/>
        <v>S</v>
      </c>
      <c r="AJ6" s="13" t="str">
        <f t="shared" si="4"/>
        <v>S</v>
      </c>
      <c r="AK6" s="13" t="str">
        <f t="shared" si="4"/>
        <v>M</v>
      </c>
      <c r="AL6" s="13" t="str">
        <f t="shared" si="4"/>
        <v>T</v>
      </c>
      <c r="AM6" s="13" t="str">
        <f t="shared" si="4"/>
        <v>W</v>
      </c>
      <c r="AN6" s="13" t="str">
        <f t="shared" si="4"/>
        <v>T</v>
      </c>
      <c r="AO6" s="13" t="str">
        <f t="shared" si="4"/>
        <v>F</v>
      </c>
      <c r="AP6" s="13" t="str">
        <f t="shared" si="4"/>
        <v>S</v>
      </c>
      <c r="AQ6" s="13" t="str">
        <f t="shared" si="4"/>
        <v>S</v>
      </c>
      <c r="AR6" s="13" t="str">
        <f t="shared" si="4"/>
        <v>M</v>
      </c>
      <c r="AS6" s="13" t="str">
        <f t="shared" ref="AS6:BL6" si="5">LEFT(TEXT(AS5,"ddd"),1)</f>
        <v>T</v>
      </c>
      <c r="AT6" s="13" t="str">
        <f t="shared" si="5"/>
        <v>W</v>
      </c>
      <c r="AU6" s="13" t="str">
        <f t="shared" si="5"/>
        <v>T</v>
      </c>
      <c r="AV6" s="13" t="str">
        <f t="shared" si="5"/>
        <v>F</v>
      </c>
      <c r="AW6" s="13" t="str">
        <f t="shared" si="5"/>
        <v>S</v>
      </c>
      <c r="AX6" s="13" t="str">
        <f t="shared" si="5"/>
        <v>S</v>
      </c>
      <c r="AY6" s="13" t="str">
        <f t="shared" si="5"/>
        <v>M</v>
      </c>
      <c r="AZ6" s="13" t="str">
        <f t="shared" si="5"/>
        <v>T</v>
      </c>
      <c r="BA6" s="13" t="str">
        <f t="shared" si="5"/>
        <v>W</v>
      </c>
      <c r="BB6" s="13" t="str">
        <f t="shared" si="5"/>
        <v>T</v>
      </c>
      <c r="BC6" s="13" t="str">
        <f t="shared" si="5"/>
        <v>F</v>
      </c>
      <c r="BD6" s="13" t="str">
        <f t="shared" si="5"/>
        <v>S</v>
      </c>
      <c r="BE6" s="13" t="str">
        <f t="shared" si="5"/>
        <v>S</v>
      </c>
      <c r="BF6" s="13" t="str">
        <f t="shared" si="5"/>
        <v>M</v>
      </c>
      <c r="BG6" s="13" t="str">
        <f t="shared" si="5"/>
        <v>T</v>
      </c>
      <c r="BH6" s="13" t="str">
        <f t="shared" si="5"/>
        <v>W</v>
      </c>
      <c r="BI6" s="13" t="str">
        <f t="shared" si="5"/>
        <v>T</v>
      </c>
      <c r="BJ6" s="13" t="str">
        <f t="shared" si="5"/>
        <v>F</v>
      </c>
      <c r="BK6" s="13" t="str">
        <f t="shared" si="5"/>
        <v>S</v>
      </c>
      <c r="BL6" s="13" t="str">
        <f t="shared" si="5"/>
        <v>S</v>
      </c>
    </row>
    <row r="7" spans="1:64" ht="30" hidden="1" customHeight="1" thickBot="1" x14ac:dyDescent="0.25">
      <c r="A7" s="58" t="s">
        <v>28</v>
      </c>
      <c r="C7" s="62"/>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64" s="3" customFormat="1" ht="30" customHeight="1" thickBot="1" x14ac:dyDescent="0.25">
      <c r="A8" s="59" t="s">
        <v>34</v>
      </c>
      <c r="B8" s="18" t="s">
        <v>41</v>
      </c>
      <c r="C8" s="71"/>
      <c r="D8" s="19"/>
      <c r="E8" s="20"/>
      <c r="F8" s="21"/>
      <c r="G8" s="17"/>
      <c r="H8" s="17" t="str">
        <f t="shared" ref="H8:H33" si="6">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3" customFormat="1" ht="30" customHeight="1" thickBot="1" x14ac:dyDescent="0.25">
      <c r="A9" s="59" t="s">
        <v>35</v>
      </c>
      <c r="B9" s="80" t="s">
        <v>45</v>
      </c>
      <c r="C9" s="72"/>
      <c r="D9" s="22">
        <v>1</v>
      </c>
      <c r="E9" s="66">
        <f>Project_Start</f>
        <v>46163</v>
      </c>
      <c r="F9" s="66">
        <f>E9</f>
        <v>46163</v>
      </c>
      <c r="G9" s="17"/>
      <c r="H9" s="17">
        <f t="shared" si="6"/>
        <v>1</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 customFormat="1" ht="30" customHeight="1" thickBot="1" x14ac:dyDescent="0.25">
      <c r="A10" s="59" t="s">
        <v>36</v>
      </c>
      <c r="B10" s="80" t="s">
        <v>46</v>
      </c>
      <c r="C10" s="72"/>
      <c r="D10" s="22">
        <v>1</v>
      </c>
      <c r="E10" s="66">
        <f>F9</f>
        <v>46163</v>
      </c>
      <c r="F10" s="66">
        <f>E10+1</f>
        <v>46164</v>
      </c>
      <c r="G10" s="17"/>
      <c r="H10" s="17">
        <f t="shared" si="6"/>
        <v>2</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 customFormat="1" ht="30" customHeight="1" thickBot="1" x14ac:dyDescent="0.25">
      <c r="A11" s="58"/>
      <c r="B11" s="80" t="s">
        <v>47</v>
      </c>
      <c r="C11" s="72"/>
      <c r="D11" s="22">
        <v>1</v>
      </c>
      <c r="E11" s="66">
        <f>F10</f>
        <v>46164</v>
      </c>
      <c r="F11" s="66">
        <f>E11+1</f>
        <v>46165</v>
      </c>
      <c r="G11" s="17"/>
      <c r="H11" s="17">
        <f t="shared" si="6"/>
        <v>2</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 customFormat="1" ht="30" customHeight="1" thickBot="1" x14ac:dyDescent="0.25">
      <c r="A12" s="58"/>
      <c r="B12" s="80" t="s">
        <v>48</v>
      </c>
      <c r="C12" s="72"/>
      <c r="D12" s="22">
        <v>1</v>
      </c>
      <c r="E12" s="66">
        <f>F11</f>
        <v>46165</v>
      </c>
      <c r="F12" s="66">
        <f>E12+2</f>
        <v>46167</v>
      </c>
      <c r="G12" s="17"/>
      <c r="H12" s="17">
        <f t="shared" si="6"/>
        <v>3</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 customFormat="1" ht="30" customHeight="1" thickBot="1" x14ac:dyDescent="0.25">
      <c r="A13" s="58"/>
      <c r="B13" s="80" t="s">
        <v>49</v>
      </c>
      <c r="C13" s="72"/>
      <c r="D13" s="22">
        <v>1</v>
      </c>
      <c r="E13" s="66">
        <f>F12</f>
        <v>46167</v>
      </c>
      <c r="F13" s="66">
        <f>E13+1</f>
        <v>46168</v>
      </c>
      <c r="G13" s="17"/>
      <c r="H13" s="17">
        <f t="shared" si="6"/>
        <v>2</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 customFormat="1" ht="30" customHeight="1" thickBot="1" x14ac:dyDescent="0.25">
      <c r="A14" s="59" t="s">
        <v>37</v>
      </c>
      <c r="B14" s="23" t="s">
        <v>42</v>
      </c>
      <c r="C14" s="73"/>
      <c r="D14" s="24"/>
      <c r="E14" s="25"/>
      <c r="F14" s="26"/>
      <c r="G14" s="17"/>
      <c r="H14" s="17" t="str">
        <f t="shared" si="6"/>
        <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 customFormat="1" ht="30" customHeight="1" thickBot="1" x14ac:dyDescent="0.25">
      <c r="A15" s="59"/>
      <c r="B15" s="81" t="s">
        <v>50</v>
      </c>
      <c r="C15" s="74"/>
      <c r="D15" s="27">
        <v>1</v>
      </c>
      <c r="E15" s="67">
        <f>E13+2</f>
        <v>46169</v>
      </c>
      <c r="F15" s="67">
        <f>E15+1</f>
        <v>46170</v>
      </c>
      <c r="G15" s="17"/>
      <c r="H15" s="17">
        <f t="shared" si="6"/>
        <v>2</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 customFormat="1" ht="30" customHeight="1" thickBot="1" x14ac:dyDescent="0.25">
      <c r="A16" s="58"/>
      <c r="B16" s="81" t="s">
        <v>51</v>
      </c>
      <c r="C16" s="74"/>
      <c r="D16" s="27">
        <v>1</v>
      </c>
      <c r="E16" s="67">
        <f>F15</f>
        <v>46170</v>
      </c>
      <c r="F16" s="67">
        <f>E16+1</f>
        <v>46171</v>
      </c>
      <c r="G16" s="17"/>
      <c r="H16" s="17">
        <f t="shared" si="6"/>
        <v>2</v>
      </c>
      <c r="I16" s="44"/>
      <c r="J16" s="44"/>
      <c r="K16" s="44"/>
      <c r="L16" s="44"/>
      <c r="M16" s="44"/>
      <c r="N16" s="44"/>
      <c r="O16" s="44"/>
      <c r="P16" s="44"/>
      <c r="Q16" s="44"/>
      <c r="R16" s="44"/>
      <c r="S16" s="44"/>
      <c r="T16" s="44"/>
      <c r="U16" s="45"/>
      <c r="V16" s="45"/>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 customFormat="1" ht="30" customHeight="1" thickBot="1" x14ac:dyDescent="0.25">
      <c r="A17" s="58"/>
      <c r="B17" s="81" t="s">
        <v>52</v>
      </c>
      <c r="C17" s="74"/>
      <c r="D17" s="27">
        <v>1</v>
      </c>
      <c r="E17" s="67">
        <f>F16</f>
        <v>46171</v>
      </c>
      <c r="F17" s="67">
        <f>E17+1</f>
        <v>46172</v>
      </c>
      <c r="G17" s="17"/>
      <c r="H17" s="17">
        <f t="shared" si="6"/>
        <v>2</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 customFormat="1" ht="30" customHeight="1" thickBot="1" x14ac:dyDescent="0.25">
      <c r="A18" s="58"/>
      <c r="B18" s="81" t="s">
        <v>53</v>
      </c>
      <c r="C18" s="74"/>
      <c r="D18" s="27">
        <v>1</v>
      </c>
      <c r="E18" s="67">
        <f>E17</f>
        <v>46171</v>
      </c>
      <c r="F18" s="67">
        <f>E18+2</f>
        <v>46173</v>
      </c>
      <c r="G18" s="17"/>
      <c r="H18" s="17">
        <f t="shared" si="6"/>
        <v>3</v>
      </c>
      <c r="I18" s="44"/>
      <c r="J18" s="44"/>
      <c r="K18" s="44"/>
      <c r="L18" s="44"/>
      <c r="M18" s="44"/>
      <c r="N18" s="44"/>
      <c r="O18" s="44"/>
      <c r="P18" s="44"/>
      <c r="Q18" s="44"/>
      <c r="R18" s="44"/>
      <c r="S18" s="44"/>
      <c r="T18" s="44"/>
      <c r="U18" s="44"/>
      <c r="V18" s="44"/>
      <c r="W18" s="44"/>
      <c r="X18" s="44"/>
      <c r="Y18" s="45"/>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 customFormat="1" ht="30" customHeight="1" thickBot="1" x14ac:dyDescent="0.25">
      <c r="A19" s="58"/>
      <c r="B19" s="81" t="s">
        <v>54</v>
      </c>
      <c r="C19" s="74"/>
      <c r="D19" s="27">
        <v>1</v>
      </c>
      <c r="E19" s="67">
        <f>E18 + 1</f>
        <v>46172</v>
      </c>
      <c r="F19" s="67">
        <f>E19+2</f>
        <v>46174</v>
      </c>
      <c r="G19" s="17"/>
      <c r="H19" s="17">
        <f t="shared" si="6"/>
        <v>3</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 customFormat="1" ht="30" customHeight="1" thickBot="1" x14ac:dyDescent="0.25">
      <c r="A20" s="58" t="s">
        <v>25</v>
      </c>
      <c r="B20" s="28" t="s">
        <v>43</v>
      </c>
      <c r="C20" s="75"/>
      <c r="D20" s="29"/>
      <c r="E20" s="30"/>
      <c r="F20" s="31"/>
      <c r="G20" s="17"/>
      <c r="H20" s="17" t="str">
        <f t="shared" si="6"/>
        <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 customFormat="1" ht="30" customHeight="1" thickBot="1" x14ac:dyDescent="0.25">
      <c r="A21" s="58"/>
      <c r="B21" s="82" t="s">
        <v>55</v>
      </c>
      <c r="C21" s="76"/>
      <c r="D21" s="32">
        <v>1</v>
      </c>
      <c r="E21" s="68">
        <f>F19+1</f>
        <v>46175</v>
      </c>
      <c r="F21" s="68">
        <f>E21+1</f>
        <v>46176</v>
      </c>
      <c r="G21" s="17"/>
      <c r="H21" s="17">
        <f t="shared" si="6"/>
        <v>2</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 customFormat="1" ht="30" customHeight="1" thickBot="1" x14ac:dyDescent="0.25">
      <c r="A22" s="58"/>
      <c r="B22" s="82" t="s">
        <v>56</v>
      </c>
      <c r="C22" s="76"/>
      <c r="D22" s="32">
        <v>1</v>
      </c>
      <c r="E22" s="68">
        <f>F21</f>
        <v>46176</v>
      </c>
      <c r="F22" s="68">
        <f>E22 + 1</f>
        <v>46177</v>
      </c>
      <c r="G22" s="17"/>
      <c r="H22" s="17">
        <f t="shared" si="6"/>
        <v>2</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 customFormat="1" ht="30" customHeight="1" thickBot="1" x14ac:dyDescent="0.25">
      <c r="A23" s="58"/>
      <c r="B23" s="82" t="s">
        <v>57</v>
      </c>
      <c r="C23" s="76"/>
      <c r="D23" s="32">
        <v>1</v>
      </c>
      <c r="E23" s="68">
        <f>F22</f>
        <v>46177</v>
      </c>
      <c r="F23" s="68">
        <f>E23+1</f>
        <v>46178</v>
      </c>
      <c r="G23" s="17"/>
      <c r="H23" s="17">
        <f t="shared" si="6"/>
        <v>2</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 customFormat="1" ht="30" customHeight="1" thickBot="1" x14ac:dyDescent="0.25">
      <c r="A24" s="58"/>
      <c r="B24" s="82" t="s">
        <v>58</v>
      </c>
      <c r="C24" s="76"/>
      <c r="D24" s="32">
        <v>1</v>
      </c>
      <c r="E24" s="68">
        <f>F23 - 1</f>
        <v>46177</v>
      </c>
      <c r="F24" s="68">
        <f>E24+1</f>
        <v>46178</v>
      </c>
      <c r="G24" s="17"/>
      <c r="H24" s="17">
        <f t="shared" si="6"/>
        <v>2</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 customFormat="1" ht="30" customHeight="1" thickBot="1" x14ac:dyDescent="0.25">
      <c r="A25" s="58"/>
      <c r="B25" s="82" t="s">
        <v>59</v>
      </c>
      <c r="C25" s="76"/>
      <c r="D25" s="32">
        <v>1</v>
      </c>
      <c r="E25" s="68">
        <f>E23 + 1</f>
        <v>46178</v>
      </c>
      <c r="F25" s="68">
        <f>E25+1</f>
        <v>46179</v>
      </c>
      <c r="G25" s="17"/>
      <c r="H25" s="17">
        <f t="shared" si="6"/>
        <v>2</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 customFormat="1" ht="30" customHeight="1" thickBot="1" x14ac:dyDescent="0.25">
      <c r="A26" s="58" t="s">
        <v>25</v>
      </c>
      <c r="B26" s="33" t="s">
        <v>44</v>
      </c>
      <c r="C26" s="77"/>
      <c r="D26" s="34"/>
      <c r="E26" s="35"/>
      <c r="F26" s="36"/>
      <c r="G26" s="17"/>
      <c r="H26" s="17" t="str">
        <f t="shared" si="6"/>
        <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 customFormat="1" ht="30" customHeight="1" thickBot="1" x14ac:dyDescent="0.25">
      <c r="A27" s="58"/>
      <c r="B27" s="83" t="s">
        <v>60</v>
      </c>
      <c r="C27" s="78"/>
      <c r="D27" s="37">
        <v>1</v>
      </c>
      <c r="E27" s="69">
        <f>F25+1</f>
        <v>46180</v>
      </c>
      <c r="F27" s="69">
        <f>E27+1</f>
        <v>46181</v>
      </c>
      <c r="G27" s="17"/>
      <c r="H27" s="17">
        <f t="shared" si="6"/>
        <v>2</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 customFormat="1" ht="30" customHeight="1" thickBot="1" x14ac:dyDescent="0.25">
      <c r="A28" s="58"/>
      <c r="B28" s="83" t="s">
        <v>61</v>
      </c>
      <c r="C28" s="78"/>
      <c r="D28" s="37">
        <v>1</v>
      </c>
      <c r="E28" s="69">
        <f>E27</f>
        <v>46180</v>
      </c>
      <c r="F28" s="69">
        <f>E28+1</f>
        <v>46181</v>
      </c>
      <c r="G28" s="17"/>
      <c r="H28" s="17">
        <f t="shared" si="6"/>
        <v>2</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 customFormat="1" ht="30" customHeight="1" thickBot="1" x14ac:dyDescent="0.25">
      <c r="A29" s="58"/>
      <c r="B29" s="83" t="s">
        <v>62</v>
      </c>
      <c r="C29" s="78"/>
      <c r="D29" s="37">
        <v>1</v>
      </c>
      <c r="E29" s="69">
        <f>F28</f>
        <v>46181</v>
      </c>
      <c r="F29" s="69">
        <f>E29+1</f>
        <v>46182</v>
      </c>
      <c r="G29" s="17"/>
      <c r="H29" s="17">
        <f t="shared" si="6"/>
        <v>2</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spans="1:64" s="3" customFormat="1" ht="30" customHeight="1" thickBot="1" x14ac:dyDescent="0.25">
      <c r="A30" s="58"/>
      <c r="B30" s="83" t="s">
        <v>63</v>
      </c>
      <c r="C30" s="78"/>
      <c r="D30" s="37">
        <v>1</v>
      </c>
      <c r="E30" s="69">
        <f>E29</f>
        <v>46181</v>
      </c>
      <c r="F30" s="69">
        <f>E30+1</f>
        <v>46182</v>
      </c>
      <c r="G30" s="17"/>
      <c r="H30" s="17">
        <f t="shared" si="6"/>
        <v>2</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spans="1:64" s="3" customFormat="1" ht="30" customHeight="1" thickBot="1" x14ac:dyDescent="0.25">
      <c r="A31" s="58"/>
      <c r="B31" s="83" t="s">
        <v>64</v>
      </c>
      <c r="C31" s="78"/>
      <c r="D31" s="37">
        <v>1</v>
      </c>
      <c r="E31" s="69">
        <f>F30</f>
        <v>46182</v>
      </c>
      <c r="F31" s="69">
        <f>F30</f>
        <v>46182</v>
      </c>
      <c r="G31" s="17"/>
      <c r="H31" s="17">
        <f t="shared" si="6"/>
        <v>1</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3" customFormat="1" ht="30" customHeight="1" thickBot="1" x14ac:dyDescent="0.25">
      <c r="A32" s="58" t="s">
        <v>27</v>
      </c>
      <c r="B32" s="84"/>
      <c r="C32" s="79"/>
      <c r="D32" s="16"/>
      <c r="E32" s="70"/>
      <c r="F32" s="70"/>
      <c r="G32" s="17"/>
      <c r="H32" s="17" t="str">
        <f t="shared" si="6"/>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3" customFormat="1" ht="30" customHeight="1" thickBot="1" x14ac:dyDescent="0.25">
      <c r="A33" s="59" t="s">
        <v>26</v>
      </c>
      <c r="B33" s="38" t="s">
        <v>0</v>
      </c>
      <c r="C33" s="39"/>
      <c r="D33" s="40"/>
      <c r="E33" s="41"/>
      <c r="F33" s="42"/>
      <c r="G33" s="43"/>
      <c r="H33" s="43" t="str">
        <f t="shared" si="6"/>
        <v/>
      </c>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row>
    <row r="34" spans="1:64" ht="30" customHeight="1" x14ac:dyDescent="0.2">
      <c r="G34" s="6"/>
    </row>
    <row r="35" spans="1:64" ht="30" customHeight="1" x14ac:dyDescent="0.2">
      <c r="C35" s="14"/>
      <c r="F35" s="60"/>
    </row>
    <row r="36" spans="1:64" ht="30" customHeight="1" x14ac:dyDescent="0.2">
      <c r="C36" s="15"/>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87.1640625" style="48" customWidth="1"/>
    <col min="2" max="16384" width="9.1640625" style="2"/>
  </cols>
  <sheetData>
    <row r="1" spans="1:2" ht="46.5" customHeight="1" x14ac:dyDescent="0.2"/>
    <row r="2" spans="1:2" s="50" customFormat="1" ht="16" x14ac:dyDescent="0.2">
      <c r="A2" s="49" t="s">
        <v>12</v>
      </c>
      <c r="B2" s="49"/>
    </row>
    <row r="3" spans="1:2" s="54" customFormat="1" ht="27" customHeight="1" x14ac:dyDescent="0.2">
      <c r="A3" s="55" t="s">
        <v>17</v>
      </c>
      <c r="B3" s="55"/>
    </row>
    <row r="4" spans="1:2" s="51" customFormat="1" ht="26" x14ac:dyDescent="0.3">
      <c r="A4" s="52" t="s">
        <v>11</v>
      </c>
    </row>
    <row r="5" spans="1:2" ht="74" customHeight="1" x14ac:dyDescent="0.2">
      <c r="A5" s="53" t="s">
        <v>20</v>
      </c>
    </row>
    <row r="6" spans="1:2" ht="26.25" customHeight="1" x14ac:dyDescent="0.2">
      <c r="A6" s="52" t="s">
        <v>23</v>
      </c>
    </row>
    <row r="7" spans="1:2" s="48" customFormat="1" ht="205" customHeight="1" x14ac:dyDescent="0.2">
      <c r="A7" s="57" t="s">
        <v>22</v>
      </c>
    </row>
    <row r="8" spans="1:2" s="51" customFormat="1" ht="26" x14ac:dyDescent="0.3">
      <c r="A8" s="52" t="s">
        <v>13</v>
      </c>
    </row>
    <row r="9" spans="1:2" ht="48" x14ac:dyDescent="0.2">
      <c r="A9" s="53" t="s">
        <v>21</v>
      </c>
    </row>
    <row r="10" spans="1:2" s="48" customFormat="1" ht="28" customHeight="1" x14ac:dyDescent="0.2">
      <c r="A10" s="56" t="s">
        <v>19</v>
      </c>
    </row>
    <row r="11" spans="1:2" s="51" customFormat="1" ht="26" x14ac:dyDescent="0.3">
      <c r="A11" s="52" t="s">
        <v>10</v>
      </c>
    </row>
    <row r="12" spans="1:2" ht="32" x14ac:dyDescent="0.2">
      <c r="A12" s="53" t="s">
        <v>18</v>
      </c>
    </row>
    <row r="13" spans="1:2" s="48" customFormat="1" ht="28" customHeight="1" x14ac:dyDescent="0.2">
      <c r="A13" s="56" t="s">
        <v>4</v>
      </c>
    </row>
    <row r="14" spans="1:2" s="51" customFormat="1" ht="26" x14ac:dyDescent="0.3">
      <c r="A14" s="52" t="s">
        <v>14</v>
      </c>
    </row>
    <row r="15" spans="1:2" ht="75" customHeight="1" x14ac:dyDescent="0.2">
      <c r="A15" s="53" t="s">
        <v>15</v>
      </c>
    </row>
    <row r="16" spans="1:2" ht="64" x14ac:dyDescent="0.2">
      <c r="A16" s="53"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Has_Teacher_Only_SectionGroup xmlns="147d1278-e733-49aa-b400-ef7687d76ce3" xsi:nil="true"/>
    <FolderType xmlns="147d1278-e733-49aa-b400-ef7687d76ce3" xsi:nil="true"/>
    <_ip_UnifiedCompliancePolicyUIAction xmlns="http://schemas.microsoft.com/sharepoint/v3" xsi:nil="true"/>
    <TeamsChannelId xmlns="147d1278-e733-49aa-b400-ef7687d76ce3" xsi:nil="true"/>
    <Invited_Teachers xmlns="147d1278-e733-49aa-b400-ef7687d76ce3" xsi:nil="true"/>
    <Invited_Students xmlns="147d1278-e733-49aa-b400-ef7687d76ce3" xsi:nil="true"/>
    <IsNotebookLocked xmlns="147d1278-e733-49aa-b400-ef7687d76ce3" xsi:nil="true"/>
    <Templates xmlns="147d1278-e733-49aa-b400-ef7687d76ce3" xsi:nil="true"/>
    <Self_Registration_Enabled xmlns="147d1278-e733-49aa-b400-ef7687d76ce3" xsi:nil="true"/>
    <Teachers xmlns="147d1278-e733-49aa-b400-ef7687d76ce3">
      <UserInfo>
        <DisplayName/>
        <AccountId xsi:nil="true"/>
        <AccountType/>
      </UserInfo>
    </Teachers>
    <Distribution_Groups xmlns="147d1278-e733-49aa-b400-ef7687d76ce3" xsi:nil="true"/>
    <LMS_Mappings xmlns="147d1278-e733-49aa-b400-ef7687d76ce3" xsi:nil="true"/>
    <Teams_Channel_Section_Location xmlns="147d1278-e733-49aa-b400-ef7687d76ce3" xsi:nil="true"/>
    <CultureName xmlns="147d1278-e733-49aa-b400-ef7687d76ce3" xsi:nil="true"/>
    <AppVersion xmlns="147d1278-e733-49aa-b400-ef7687d76ce3" xsi:nil="true"/>
    <_ip_UnifiedCompliancePolicyProperties xmlns="http://schemas.microsoft.com/sharepoint/v3" xsi:nil="true"/>
    <DefaultSectionNames xmlns="147d1278-e733-49aa-b400-ef7687d76ce3" xsi:nil="true"/>
    <NotebookType xmlns="147d1278-e733-49aa-b400-ef7687d76ce3" xsi:nil="true"/>
    <Student_Groups xmlns="147d1278-e733-49aa-b400-ef7687d76ce3">
      <UserInfo>
        <DisplayName/>
        <AccountId xsi:nil="true"/>
        <AccountType/>
      </UserInfo>
    </Student_Groups>
    <Math_Settings xmlns="147d1278-e733-49aa-b400-ef7687d76ce3" xsi:nil="true"/>
    <Owner xmlns="147d1278-e733-49aa-b400-ef7687d76ce3">
      <UserInfo>
        <DisplayName/>
        <AccountId xsi:nil="true"/>
        <AccountType/>
      </UserInfo>
    </Owner>
    <Students xmlns="147d1278-e733-49aa-b400-ef7687d76ce3">
      <UserInfo>
        <DisplayName/>
        <AccountId xsi:nil="true"/>
        <AccountType/>
      </UserInfo>
    </Students>
    <Is_Collaboration_Space_Locked xmlns="147d1278-e733-49aa-b400-ef7687d76ce3" xsi:nil="true"/>
    <_activity xmlns="147d1278-e733-49aa-b400-ef7687d76ce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A6C24D38A47D4483BDD40956192BCF" ma:contentTypeVersion="39" ma:contentTypeDescription="Create a new document." ma:contentTypeScope="" ma:versionID="9f07f3829e5d09499baf2c8502db3ed1">
  <xsd:schema xmlns:xsd="http://www.w3.org/2001/XMLSchema" xmlns:xs="http://www.w3.org/2001/XMLSchema" xmlns:p="http://schemas.microsoft.com/office/2006/metadata/properties" xmlns:ns1="http://schemas.microsoft.com/sharepoint/v3" xmlns:ns3="147d1278-e733-49aa-b400-ef7687d76ce3" xmlns:ns4="93d03e77-3551-4536-9208-3222abea9772" targetNamespace="http://schemas.microsoft.com/office/2006/metadata/properties" ma:root="true" ma:fieldsID="ae3c4703f3b8d4021d69f44788502e31" ns1:_="" ns3:_="" ns4:_="">
    <xsd:import namespace="http://schemas.microsoft.com/sharepoint/v3"/>
    <xsd:import namespace="147d1278-e733-49aa-b400-ef7687d76ce3"/>
    <xsd:import namespace="93d03e77-3551-4536-9208-3222abea9772"/>
    <xsd:element name="properties">
      <xsd:complexType>
        <xsd:sequence>
          <xsd:element name="documentManagement">
            <xsd:complexType>
              <xsd:all>
                <xsd:element ref="ns3:NotebookType" minOccurs="0"/>
                <xsd:element ref="ns3:FolderType" minOccurs="0"/>
                <xsd:element ref="ns3:CultureName" minOccurs="0"/>
                <xsd:element ref="ns3:AppVersion" minOccurs="0"/>
                <xsd:element ref="ns3:TeamsChannelId" minOccurs="0"/>
                <xsd:element ref="ns3:Owner" minOccurs="0"/>
                <xsd:element ref="ns3:DefaultSectionNames" minOccurs="0"/>
                <xsd:element ref="ns3:Templates" minOccurs="0"/>
                <xsd:element ref="ns3:Teachers" minOccurs="0"/>
                <xsd:element ref="ns3:Students" minOccurs="0"/>
                <xsd:element ref="ns3:Student_Groups" minOccurs="0"/>
                <xsd:element ref="ns3:Invited_Teachers" minOccurs="0"/>
                <xsd:element ref="ns3:Invited_Students" minOccurs="0"/>
                <xsd:element ref="ns3:Self_Registration_Enabled" minOccurs="0"/>
                <xsd:element ref="ns3:Has_Teacher_Only_SectionGroup" minOccurs="0"/>
                <xsd:element ref="ns3:Is_Collaboration_Space_Locked" minOccurs="0"/>
                <xsd:element ref="ns3:IsNotebookLocked"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ath_Settings" minOccurs="0"/>
                <xsd:element ref="ns3:MediaServiceGenerationTime" minOccurs="0"/>
                <xsd:element ref="ns3:MediaServiceEventHashCode" minOccurs="0"/>
                <xsd:element ref="ns3:MediaServiceAutoKeyPoints" minOccurs="0"/>
                <xsd:element ref="ns3:MediaServiceKeyPoints" minOccurs="0"/>
                <xsd:element ref="ns1:_ip_UnifiedCompliancePolicyProperties" minOccurs="0"/>
                <xsd:element ref="ns1:_ip_UnifiedCompliancePolicyUIAction" minOccurs="0"/>
                <xsd:element ref="ns3:Distribution_Groups" minOccurs="0"/>
                <xsd:element ref="ns3:LMS_Mappings" minOccurs="0"/>
                <xsd:element ref="ns3:Teams_Channel_Section_Location" minOccurs="0"/>
                <xsd:element ref="ns3:MediaLengthInSeconds"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7d1278-e733-49aa-b400-ef7687d76ce3"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faultSectionNames" ma:index="14" nillable="true" ma:displayName="Default Section Names" ma:internalName="DefaultSectionNames">
      <xsd:simpleType>
        <xsd:restriction base="dms:Note">
          <xsd:maxLength value="255"/>
        </xsd:restriction>
      </xsd:simpleType>
    </xsd:element>
    <xsd:element name="Templates" ma:index="15" nillable="true" ma:displayName="Templates" ma:internalName="Templates">
      <xsd:simpleType>
        <xsd:restriction base="dms:Note">
          <xsd:maxLength value="255"/>
        </xsd:restriction>
      </xsd:simpleType>
    </xsd:element>
    <xsd:element name="Teachers" ma:index="16"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7"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18"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vited_Teachers" ma:index="19" nillable="true" ma:displayName="Invited Teachers" ma:internalName="Invited_Teachers">
      <xsd:simpleType>
        <xsd:restriction base="dms:Note">
          <xsd:maxLength value="255"/>
        </xsd:restriction>
      </xsd:simpleType>
    </xsd:element>
    <xsd:element name="Invited_Students" ma:index="20" nillable="true" ma:displayName="Invited Students" ma:internalName="Invited_Students">
      <xsd:simpleType>
        <xsd:restriction base="dms:Note">
          <xsd:maxLength value="255"/>
        </xsd:restriction>
      </xsd:simpleType>
    </xsd:element>
    <xsd:element name="Self_Registration_Enabled" ma:index="21" nillable="true" ma:displayName="Self Registration Enabled" ma:internalName="Self_Registration_Enabled">
      <xsd:simpleType>
        <xsd:restriction base="dms:Boolean"/>
      </xsd:simpleType>
    </xsd:element>
    <xsd:element name="Has_Teacher_Only_SectionGroup" ma:index="22" nillable="true" ma:displayName="Has Teacher Only SectionGroup" ma:internalName="Has_Teacher_Only_SectionGroup">
      <xsd:simpleType>
        <xsd:restriction base="dms:Boolean"/>
      </xsd:simpleType>
    </xsd:element>
    <xsd:element name="Is_Collaboration_Space_Locked" ma:index="23" nillable="true" ma:displayName="Is Collaboration Space Locked" ma:internalName="Is_Collaboration_Space_Locked">
      <xsd:simpleType>
        <xsd:restriction base="dms:Boolean"/>
      </xsd:simpleType>
    </xsd:element>
    <xsd:element name="IsNotebookLocked" ma:index="24" nillable="true" ma:displayName="Is Notebook Locked" ma:internalName="IsNotebookLocked">
      <xsd:simpleType>
        <xsd:restriction base="dms:Boolean"/>
      </xsd:simple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0" nillable="true" ma:displayName="MediaServiceDateTaken" ma:hidden="true" ma:internalName="MediaServiceDateTaken" ma:readOnly="true">
      <xsd:simpleType>
        <xsd:restriction base="dms:Text"/>
      </xsd:simpleType>
    </xsd:element>
    <xsd:element name="MediaServiceAutoTags" ma:index="31" nillable="true" ma:displayName="MediaServiceAutoTags" ma:internalName="MediaServiceAutoTags" ma:readOnly="true">
      <xsd:simpleType>
        <xsd:restriction base="dms:Text"/>
      </xsd:simpleType>
    </xsd:element>
    <xsd:element name="MediaServiceOCR" ma:index="32" nillable="true" ma:displayName="MediaServiceOCR" ma:internalName="MediaServiceOCR" ma:readOnly="true">
      <xsd:simpleType>
        <xsd:restriction base="dms:Note">
          <xsd:maxLength value="255"/>
        </xsd:restriction>
      </xsd:simpleType>
    </xsd:element>
    <xsd:element name="MediaServiceLocation" ma:index="33" nillable="true" ma:displayName="Location" ma:internalName="MediaServiceLocation" ma:readOnly="true">
      <xsd:simpleType>
        <xsd:restriction base="dms:Text"/>
      </xsd:simpleType>
    </xsd:element>
    <xsd:element name="Math_Settings" ma:index="34" nillable="true" ma:displayName="Math Settings" ma:internalName="Math_Settings">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Distribution_Groups" ma:index="41" nillable="true" ma:displayName="Distribution Groups" ma:internalName="Distribution_Groups">
      <xsd:simpleType>
        <xsd:restriction base="dms:Note">
          <xsd:maxLength value="255"/>
        </xsd:restriction>
      </xsd:simpleType>
    </xsd:element>
    <xsd:element name="LMS_Mappings" ma:index="42" nillable="true" ma:displayName="LMS Mappings" ma:internalName="LMS_Mappings">
      <xsd:simpleType>
        <xsd:restriction base="dms:Note">
          <xsd:maxLength value="255"/>
        </xsd:restriction>
      </xsd:simpleType>
    </xsd:element>
    <xsd:element name="Teams_Channel_Section_Location" ma:index="43" nillable="true" ma:displayName="Teams Channel Section Location" ma:internalName="Teams_Channel_Section_Location">
      <xsd:simpleType>
        <xsd:restriction base="dms:Text"/>
      </xsd:simpleType>
    </xsd:element>
    <xsd:element name="MediaLengthInSeconds" ma:index="44" nillable="true" ma:displayName="Length (seconds)" ma:internalName="MediaLengthInSeconds" ma:readOnly="true">
      <xsd:simpleType>
        <xsd:restriction base="dms:Unknown"/>
      </xsd:simpleType>
    </xsd:element>
    <xsd:element name="_activity" ma:index="45" nillable="true" ma:displayName="_activity" ma:hidden="true" ma:internalName="_activity">
      <xsd:simpleType>
        <xsd:restriction base="dms:Note"/>
      </xsd:simpleType>
    </xsd:element>
    <xsd:element name="MediaServiceObjectDetectorVersions" ma:index="4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d03e77-3551-4536-9208-3222abea9772" elementFormDefault="qualified">
    <xsd:import namespace="http://schemas.microsoft.com/office/2006/documentManagement/types"/>
    <xsd:import namespace="http://schemas.microsoft.com/office/infopath/2007/PartnerControls"/>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SharingHintHash" ma:index="2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166818-70F8-4D06-AC57-4B3E04A31479}">
  <ds:schemaRefs>
    <ds:schemaRef ds:uri="http://purl.org/dc/elements/1.1/"/>
    <ds:schemaRef ds:uri="http://schemas.microsoft.com/office/2006/metadata/properties"/>
    <ds:schemaRef ds:uri="93d03e77-3551-4536-9208-3222abea9772"/>
    <ds:schemaRef ds:uri="http://schemas.microsoft.com/sharepoint/v3"/>
    <ds:schemaRef ds:uri="147d1278-e733-49aa-b400-ef7687d76ce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E51B8CD0-936E-4F4B-BD26-D0FCA6E1F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47d1278-e733-49aa-b400-ef7687d76ce3"/>
    <ds:schemaRef ds:uri="93d03e77-3551-4536-9208-3222abea97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FA432F-35E5-44AC-838D-D2937AF03E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2026-06-09T04:58:43Z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0x010100C0A6C24D38A47D4483BDD40956192BCF</vt:lpwstr>
  </property>
</Properties>
</file>